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Intraday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<sst xmlns="http://schemas.openxmlformats.org/spreadsheetml/2006/main" count="37" uniqueCount="35">
  <si>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DATE</t>
  </si>
  <si>
    <t>STOCK NAME</t>
  </si>
  <si>
    <t>BUY PRICE
(₹)</t>
  </si>
  <si>
    <t>SELL PRICE
(₹)</t>
  </si>
  <si>
    <t>QTY</t>
  </si>
  <si>
    <t>BUY AMT
(₹)</t>
  </si>
  <si>
    <t>SELL AMT
(₹)</t>
  </si>
  <si>
    <t>BROKERAGE
(₹20×2 legs)</t>
  </si>
  <si>
    <t>STT
(0.025% Sell)</t>
  </si>
  <si>
    <t>EXCHANGE TRANS
(NSE 0.00689%)</t>
  </si>
  <si>
    <t>SEBI CHARGES
(0.0001%)</t>
  </si>
  <si>
    <t>STAMP DUTY
(0.003% Buy)</t>
  </si>
  <si>
    <t>GST
(18%)</t>
  </si>
  <si>
    <t>TOTAL TAX
(₹)</t>
  </si>
  <si>
    <t>GROSS P&amp;L
(₹)</t>
  </si>
  <si>
    <t>NET PROFIT/LOSS
(₹)</t>
  </si>
  <si>
    <t>STATUS</t>
  </si>
  <si>
    <t>13-04-2026</t>
  </si>
  <si>
    <t>Vodafone Idea</t>
  </si>
  <si>
    <t>Andhra Sugars</t>
  </si>
  <si>
    <t>Suzlon Energy</t>
  </si>
  <si>
    <t>TOTAL</t>
  </si>
  <si>
    <t>GROWW INTRADAY CHARGES REFERENCE (NSE Equity)</t>
  </si>
  <si>
    <t>Brokerage</t>
  </si>
  <si>
    <t>Rs.20 per executed order or 0.05% whichever is lower — charged on BOTH buy &amp; sell legs (2 orders)</t>
  </si>
  <si>
    <t>STT</t>
  </si>
  <si>
    <t>0.025% on SELL side turnover only (intraday equity)</t>
  </si>
  <si>
    <t>Exchange Trans</t>
  </si>
  <si>
    <t>0.00689% of total turnover (buy+sell) — NSE Intraday rate (includes exchange + clearing)</t>
  </si>
  <si>
    <t>SEBI Charges</t>
  </si>
  <si>
    <t>0.0001% of total turnover (Rs.10 per crore)</t>
  </si>
  <si>
    <t>Stamp Duty</t>
  </si>
  <si>
    <t>0.003% on BUY side only (intraday equity)</t>
  </si>
  <si>
    <t>GST</t>
  </si>
  <si>
    <t>18% on (Brokerage + Exchange Trans + SEBI Charges) only — NOT applied on STT or Stamp Duty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</si>
</sst>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#,##0.000"/>
  </numFmts>
  <fonts count="29">
    <font>
      <sz val="11"/>
      <color theme="1"/>
      <name val="Calibri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sz val="10"/>
      <color rgb="FF00008B"/>
      <name val="Arial"/>
      <charset val="1"/>
    </font>
    <font>
      <b/>
      <sz val="10"/>
      <name val="Arial"/>
      <charset val="1"/>
    </font>
    <font>
      <b/>
      <i/>
      <sz val="9"/>
      <color rgb="FF1B4F72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D6EAF8"/>
        <bgColor rgb="FFEBF5FB"/>
      </patternFill>
    </fill>
    <fill>
      <patternFill patternType="solid">
        <fgColor rgb="FFEBF5FB"/>
        <bgColor rgb="FFFEF9E7"/>
      </patternFill>
    </fill>
    <fill>
      <patternFill patternType="solid">
        <fgColor rgb="FFFEF9E7"/>
        <bgColor rgb="FFFFFFFF"/>
      </patternFill>
    </fill>
    <fill>
      <patternFill patternType="solid">
        <fgColor rgb="FFD5DBDB"/>
        <bgColor rgb="FFD6E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Border="0" applyAlignment="0" applyProtection="0"/>
    <xf numFmtId="177" fontId="8" fillId="0" borderId="0" applyBorder="0" applyAlignment="0" applyProtection="0"/>
    <xf numFmtId="9" fontId="8" fillId="0" borderId="0" applyBorder="0" applyAlignment="0" applyProtection="0"/>
    <xf numFmtId="178" fontId="8" fillId="0" borderId="0" applyBorder="0" applyAlignment="0" applyProtection="0"/>
    <xf numFmtId="179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right" vertical="center"/>
    </xf>
    <xf numFmtId="180" fontId="2" fillId="5" borderId="1" xfId="0" applyNumberFormat="1" applyFont="1" applyFill="1" applyBorder="1" applyAlignment="1">
      <alignment horizontal="right" vertical="center"/>
    </xf>
    <xf numFmtId="180" fontId="4" fillId="5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right" vertical="center"/>
    </xf>
    <xf numFmtId="4" fontId="4" fillId="6" borderId="1" xfId="0" applyNumberFormat="1" applyFont="1" applyFill="1" applyBorder="1" applyAlignment="1">
      <alignment horizontal="right" vertical="center"/>
    </xf>
    <xf numFmtId="180" fontId="4" fillId="6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B"/>
      <rgbColor rgb="00808000"/>
      <rgbColor rgb="00800080"/>
      <rgbColor rgb="00008080"/>
      <rgbColor rgb="00BFBFBF"/>
      <rgbColor rgb="00808080"/>
      <rgbColor rgb="009999FF"/>
      <rgbColor rgb="00993366"/>
      <rgbColor rgb="00FEF9E7"/>
      <rgbColor rgb="00D6EAF8"/>
      <rgbColor rgb="00660066"/>
      <rgbColor rgb="00FF8080"/>
      <rgbColor rgb="000066CC"/>
      <rgbColor rgb="00D5DBDB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5FB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B4F72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showGridLines="0" tabSelected="1" workbookViewId="0">
      <pane ySplit="1" topLeftCell="A2" activePane="bottomLeft" state="frozen"/>
      <selection/>
      <selection pane="bottomLeft" activeCell="P2" sqref="P2"/>
    </sheetView>
  </sheetViews>
  <sheetFormatPr defaultColWidth="8.67619047619048" defaultRowHeight="15"/>
  <cols>
    <col min="1" max="1" width="13" customWidth="1"/>
    <col min="2" max="2" width="18" customWidth="1"/>
    <col min="3" max="4" width="12" customWidth="1"/>
    <col min="5" max="5" width="6" customWidth="1"/>
    <col min="6" max="7" width="12" customWidth="1"/>
    <col min="8" max="8" width="16" customWidth="1"/>
    <col min="9" max="9" width="15" customWidth="1"/>
    <col min="10" max="10" width="17" customWidth="1"/>
    <col min="11" max="11" width="14" customWidth="1"/>
    <col min="12" max="12" width="15" customWidth="1"/>
    <col min="13" max="13" width="10" customWidth="1"/>
    <col min="14" max="14" width="13" customWidth="1"/>
    <col min="15" max="15" width="12" customWidth="1"/>
    <col min="16" max="16" width="16" customWidth="1"/>
    <col min="17" max="17" width="10" customWidth="1"/>
  </cols>
  <sheetData>
    <row r="1" ht="4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8" customHeight="1" spans="1:17">
      <c r="A2" s="2" t="s">
        <v>17</v>
      </c>
      <c r="B2" s="3" t="s">
        <v>18</v>
      </c>
      <c r="C2" s="4">
        <v>9.25</v>
      </c>
      <c r="D2" s="4">
        <v>9.52</v>
      </c>
      <c r="E2" s="5">
        <v>100</v>
      </c>
      <c r="F2" s="6">
        <f>C2*E2</f>
        <v>925</v>
      </c>
      <c r="G2" s="6">
        <f>D2*E2</f>
        <v>952</v>
      </c>
      <c r="H2" s="7">
        <f>MIN(20,F2*0.0005)+MIN(20,G2*0.0005)</f>
        <v>0.9385</v>
      </c>
      <c r="I2" s="7">
        <f>G2*0.00025</f>
        <v>0.238</v>
      </c>
      <c r="J2" s="7">
        <f>(F2+G2)*0.0000689</f>
        <v>0.1293253</v>
      </c>
      <c r="K2" s="7">
        <f>(F2+G2)*0.000001</f>
        <v>0.001877</v>
      </c>
      <c r="L2" s="7">
        <f>F2*0.00003</f>
        <v>0.02775</v>
      </c>
      <c r="M2" s="7">
        <f>(H2+J2+K2)*0.18</f>
        <v>0.192546414</v>
      </c>
      <c r="N2" s="8">
        <f>SUM(H2:M2)</f>
        <v>1.527998714</v>
      </c>
      <c r="O2" s="6">
        <f>G2-F2</f>
        <v>27</v>
      </c>
      <c r="P2" s="9">
        <f>O2-N2</f>
        <v>25.472001286</v>
      </c>
      <c r="Q2" s="10" t="str">
        <f>IF(P2&gt;0,"PROFIT","LOSS")</f>
        <v>PROFIT</v>
      </c>
    </row>
    <row r="3" ht="17" customHeight="1" spans="1:17">
      <c r="A3" s="2" t="s">
        <v>17</v>
      </c>
      <c r="B3" s="3" t="s">
        <v>19</v>
      </c>
      <c r="C3" s="4">
        <v>83.86</v>
      </c>
      <c r="D3" s="4">
        <v>83.93</v>
      </c>
      <c r="E3" s="5">
        <v>20</v>
      </c>
      <c r="F3" s="6">
        <f>C3*E3</f>
        <v>1677.2</v>
      </c>
      <c r="G3" s="6">
        <f>D3*E3</f>
        <v>1678.6</v>
      </c>
      <c r="H3" s="7">
        <f>MIN(20,F3*0.0005)+MIN(20,G3*0.0005)</f>
        <v>1.6779</v>
      </c>
      <c r="I3" s="7">
        <f>G3*0.00025</f>
        <v>0.41965</v>
      </c>
      <c r="J3" s="7">
        <f>(F3+G3)*0.0000689</f>
        <v>0.23121462</v>
      </c>
      <c r="K3" s="7">
        <f>(F3+G3)*0.000001</f>
        <v>0.0033558</v>
      </c>
      <c r="L3" s="7">
        <f>F3*0.00003</f>
        <v>0.050316</v>
      </c>
      <c r="M3" s="7">
        <f>(H3+J3+K3)*0.18</f>
        <v>0.3442446756</v>
      </c>
      <c r="N3" s="8">
        <f>SUM(H3:M3)</f>
        <v>2.7266810956</v>
      </c>
      <c r="O3" s="6">
        <f>G3-F3</f>
        <v>1.40000000000009</v>
      </c>
      <c r="P3" s="9">
        <f>O3-N3</f>
        <v>-1.32668109559991</v>
      </c>
      <c r="Q3" s="10" t="str">
        <f>IF(P3&gt;0,"PROFIT","LOSS")</f>
        <v>LOSS</v>
      </c>
    </row>
    <row r="4" ht="18" customHeight="1" spans="1:17">
      <c r="A4" s="2" t="s">
        <v>17</v>
      </c>
      <c r="B4" s="3" t="s">
        <v>20</v>
      </c>
      <c r="C4" s="4">
        <v>45.86</v>
      </c>
      <c r="D4" s="4">
        <v>45.94</v>
      </c>
      <c r="E4" s="5">
        <v>20</v>
      </c>
      <c r="F4" s="6">
        <f>C4*E4</f>
        <v>917.2</v>
      </c>
      <c r="G4" s="6">
        <f>D4*E4</f>
        <v>918.8</v>
      </c>
      <c r="H4" s="7">
        <f>MIN(20,F4*0.0005)+MIN(20,G4*0.0005)</f>
        <v>0.918</v>
      </c>
      <c r="I4" s="7">
        <f>G4*0.00025</f>
        <v>0.2297</v>
      </c>
      <c r="J4" s="7">
        <f>(F4+G4)*0.0000689</f>
        <v>0.1265004</v>
      </c>
      <c r="K4" s="7">
        <f>(F4+G4)*0.000001</f>
        <v>0.001836</v>
      </c>
      <c r="L4" s="7">
        <f>F4*0.00003</f>
        <v>0.027516</v>
      </c>
      <c r="M4" s="7">
        <f>(H4+J4+K4)*0.18</f>
        <v>0.188340552</v>
      </c>
      <c r="N4" s="8">
        <f>SUM(H4:M4)</f>
        <v>1.491892952</v>
      </c>
      <c r="O4" s="6">
        <f>G4-F4</f>
        <v>1.59999999999991</v>
      </c>
      <c r="P4" s="9">
        <f>O4-N4</f>
        <v>0.108107047999909</v>
      </c>
      <c r="Q4" s="10" t="str">
        <f>IF(P4&gt;0,"PROFIT","LOSS")</f>
        <v>PROFIT</v>
      </c>
    </row>
    <row r="5" ht="19.5" customHeight="1" spans="1:17">
      <c r="A5" s="11" t="s">
        <v>21</v>
      </c>
      <c r="B5" s="12"/>
      <c r="C5" s="12"/>
      <c r="D5" s="12"/>
      <c r="E5" s="12"/>
      <c r="F5" s="13">
        <f t="shared" ref="F5:P5" si="0">SUM(F2:F4)</f>
        <v>3519.4</v>
      </c>
      <c r="G5" s="13">
        <f t="shared" si="0"/>
        <v>3549.4</v>
      </c>
      <c r="H5" s="14">
        <f t="shared" si="0"/>
        <v>3.5344</v>
      </c>
      <c r="I5" s="14">
        <f t="shared" si="0"/>
        <v>0.88735</v>
      </c>
      <c r="J5" s="14">
        <f t="shared" si="0"/>
        <v>0.48704032</v>
      </c>
      <c r="K5" s="14">
        <f t="shared" si="0"/>
        <v>0.0070688</v>
      </c>
      <c r="L5" s="14">
        <f t="shared" si="0"/>
        <v>0.105582</v>
      </c>
      <c r="M5" s="14">
        <f t="shared" si="0"/>
        <v>0.7251316416</v>
      </c>
      <c r="N5" s="14">
        <f t="shared" si="0"/>
        <v>5.7465727616</v>
      </c>
      <c r="O5" s="13">
        <f t="shared" si="0"/>
        <v>30</v>
      </c>
      <c r="P5" s="13">
        <f t="shared" si="0"/>
        <v>24.2534272384</v>
      </c>
      <c r="Q5" s="12"/>
    </row>
    <row r="7" spans="1:17">
      <c r="A7" s="15" t="s">
        <v>22</v>
      </c>
    </row>
    <row r="8" spans="1:17">
      <c r="A8" s="16" t="s">
        <v>23</v>
      </c>
      <c r="B8" s="17" t="s">
        <v>24</v>
      </c>
    </row>
    <row r="9" spans="1:17">
      <c r="A9" s="16" t="s">
        <v>25</v>
      </c>
      <c r="B9" s="17" t="s">
        <v>26</v>
      </c>
    </row>
    <row r="10" spans="1:17">
      <c r="A10" s="16" t="s">
        <v>27</v>
      </c>
      <c r="B10" s="17" t="s">
        <v>28</v>
      </c>
    </row>
    <row r="11" spans="1:17">
      <c r="A11" s="16" t="s">
        <v>29</v>
      </c>
      <c r="B11" s="17" t="s">
        <v>30</v>
      </c>
    </row>
    <row r="12" spans="1:17">
      <c r="A12" s="16" t="s">
        <v>31</v>
      </c>
      <c r="B12" s="17" t="s">
        <v>32</v>
      </c>
    </row>
    <row r="13" spans="1:17">
      <c r="A13" s="16" t="s">
        <v>33</v>
      </c>
      <c r="B13" s="17" t="s">
        <v>34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Intraday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ajith</cp:lastModifiedBy>
  <cp:revision>0</cp:revision>
  <dcterms:created xsi:type="dcterms:W3CDTF">2026-04-30T16:55:00Z</dcterms:created>
  <dcterms:modified xsi:type="dcterms:W3CDTF">2026-04-30T17:05:47Z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0C4BB350D5F848F283972DD6EFC51BA4_12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